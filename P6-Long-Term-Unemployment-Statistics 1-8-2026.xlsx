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OneDrive - Computer and Information Technology (Menofia University)\Pictures\DEPI\TECHNICAL\session_5_mRaFcMr\"/>
    </mc:Choice>
  </mc:AlternateContent>
  <bookViews>
    <workbookView xWindow="0" yWindow="0" windowWidth="23040" windowHeight="9192"/>
  </bookViews>
  <sheets>
    <sheet name="P6-Long-Term-Unemployment-Stati" sheetId="1" r:id="rId1"/>
  </sheets>
  <definedNames>
    <definedName name="_xlnm._FilterDatabase" localSheetId="0" hidden="1">'P6-Long-Term-Unemployment-Stati'!$A$1:$K$1</definedName>
  </definedNames>
  <calcPr calcId="162913"/>
  <pivotCaches>
    <pivotCache cacheId="0" r:id="rId2"/>
  </pivotCaches>
  <fileRecoveryPr repairLoad="1"/>
</workbook>
</file>

<file path=xl/calcChain.xml><?xml version="1.0" encoding="utf-8"?>
<calcChain xmlns="http://schemas.openxmlformats.org/spreadsheetml/2006/main">
  <c r="C16" i="1" l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<sst xmlns="http://schemas.openxmlformats.org/spreadsheetml/2006/main" count="51" uniqueCount="21">
  <si>
    <t>Age</t>
  </si>
  <si>
    <t>Gender</t>
  </si>
  <si>
    <t>Period</t>
  </si>
  <si>
    <t>Unemployed</t>
  </si>
  <si>
    <t>16 to 19 years</t>
  </si>
  <si>
    <t>Men</t>
  </si>
  <si>
    <t>20 to 24 years</t>
  </si>
  <si>
    <t>25 to 34 years</t>
  </si>
  <si>
    <t>35 to 44 years</t>
  </si>
  <si>
    <t>45 to 54 years</t>
  </si>
  <si>
    <t>55 to 64 years</t>
  </si>
  <si>
    <t>65 years and over</t>
  </si>
  <si>
    <t>Women</t>
  </si>
  <si>
    <t>Gender*</t>
  </si>
  <si>
    <t>Row Labels</t>
  </si>
  <si>
    <t>Grand Total</t>
  </si>
  <si>
    <t>Column Labels</t>
  </si>
  <si>
    <t>Male</t>
  </si>
  <si>
    <t>Female</t>
  </si>
  <si>
    <t>(All)</t>
  </si>
  <si>
    <t>Sum of 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</si>
</sst>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3" fontId="0" fillId="0" borderId="0" xfId="42" applyFon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[P6-Long-Term-Unemployment-Statistics 1-8-2026.xlsx]P6-Long-Term-Unemployment-Stati!PivotTable1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'P6-Long-Term-Unemployment-Stati'!$G$18:$G$19</c:f>
              <c:strCache>
                <c:ptCount val="1"/>
                <c:pt idx="0">
                  <c:v>Female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'P6-Long-Term-Unemployment-Stati'!$F$20:$F$27</c:f>
              <c:strCache>
                <c:ptCount val="7"/>
                <c:pt idx="0">
                  <c:v>16 to 19 years</c:v>
                </c:pt>
                <c:pt idx="1">
                  <c:v>20 to 24 years</c:v>
                </c:pt>
                <c:pt idx="2">
                  <c:v>25 to 34 years</c:v>
                </c:pt>
                <c:pt idx="3">
                  <c:v>35 to 44 years</c:v>
                </c:pt>
                <c:pt idx="4">
                  <c:v>45 to 54 years</c:v>
                </c:pt>
                <c:pt idx="5">
                  <c:v>55 to 64 years</c:v>
                </c:pt>
                <c:pt idx="6">
                  <c:v>65 years and over</c:v>
                </c:pt>
              </c:strCache>
            </c:strRef>
          </c:cat>
          <c:val>
            <c:numRef>
              <c:f>'P6-Long-Term-Unemployment-Stati'!$G$20:$G$27</c:f>
              <c:numCache>
                <c:formatCode>General</c:formatCode>
                <c:ptCount val="7"/>
                <c:pt idx="0">
                  <c:v>101000</c:v>
                </c:pt>
                <c:pt idx="1">
                  <c:v>91000</c:v>
                </c:pt>
                <c:pt idx="2">
                  <c:v>90000</c:v>
                </c:pt>
                <c:pt idx="3">
                  <c:v>90000</c:v>
                </c:pt>
                <c:pt idx="4">
                  <c:v>82000</c:v>
                </c:pt>
                <c:pt idx="5">
                  <c:v>71000</c:v>
                </c:pt>
                <c:pt idx="6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2-4D2E-A238-25430CF1F327}"/>
            </c:ext>
          </c:extLst>
        </c:ser>
        <c:ser>
          <c:idx val="1"/>
          <c:order val="1"/>
          <c:tx>
            <c:strRef>
              <c:f>'P6-Long-Term-Unemployment-Stati'!$H$18:$H$19</c:f>
              <c:strCache>
                <c:ptCount val="1"/>
                <c:pt idx="0">
                  <c:v>Male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'P6-Long-Term-Unemployment-Stati'!$F$20:$F$27</c:f>
              <c:strCache>
                <c:ptCount val="7"/>
                <c:pt idx="0">
                  <c:v>16 to 19 years</c:v>
                </c:pt>
                <c:pt idx="1">
                  <c:v>20 to 24 years</c:v>
                </c:pt>
                <c:pt idx="2">
                  <c:v>25 to 34 years</c:v>
                </c:pt>
                <c:pt idx="3">
                  <c:v>35 to 44 years</c:v>
                </c:pt>
                <c:pt idx="4">
                  <c:v>45 to 54 years</c:v>
                </c:pt>
                <c:pt idx="5">
                  <c:v>55 to 64 years</c:v>
                </c:pt>
                <c:pt idx="6">
                  <c:v>65 years and over</c:v>
                </c:pt>
              </c:strCache>
            </c:strRef>
          </c:cat>
          <c:val>
            <c:numRef>
              <c:f>'P6-Long-Term-Unemployment-Stati'!$H$20:$H$27</c:f>
              <c:numCache>
                <c:formatCode>General</c:formatCode>
                <c:ptCount val="7"/>
                <c:pt idx="0">
                  <c:v>240000</c:v>
                </c:pt>
                <c:pt idx="1">
                  <c:v>201000</c:v>
                </c:pt>
                <c:pt idx="2">
                  <c:v>194000</c:v>
                </c:pt>
                <c:pt idx="3">
                  <c:v>180000</c:v>
                </c:pt>
                <c:pt idx="4">
                  <c:v>175000</c:v>
                </c:pt>
                <c:pt idx="5">
                  <c:v>157000</c:v>
                </c:pt>
                <c:pt idx="6">
                  <c:v>142000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2-4D2E-A238-25430CF1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37701304"/>
        <c:axId val="437702616"/>
      </c:barChart>
      <c:catAx>
        <c:axId val="43770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02616"/>
        <c:crosses val="autoZero"/>
        <c:auto val="1"/>
        <c:lblAlgn val="ctr"/>
        <c:lblOffset val="100"/>
        <c:noMultiLvlLbl val="0"/>
      </c:catAx>
      <c:valAx>
        <c:axId val="437702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0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175260</xdr:colOff>
      <xdr:row>11</xdr:row>
      <xdr:rowOff>87630</xdr:rowOff>
    </xdr:from>
    <xdr:to>
      <xdr:col>15</xdr:col>
      <xdr:colOff>198120</xdr:colOff>
      <xdr:row>27</xdr:row>
      <xdr:rowOff>26670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her" refreshedDate="46277.147002430553" createdVersion="6" refreshedVersion="6" minRefreshableVersion="3" recordCount="17">
  <cacheSource type="worksheet">
    <worksheetSource ref="A1:E1048576" sheet="P6-Long-Term-Unemployment-Stati"/>
  </cacheSource>
  <cacheFields count="5">
    <cacheField name="Age" numFmtId="0">
      <sharedItems containsBlank="1" count="8">
        <s v="16 to 19 years"/>
        <s v="20 to 24 years"/>
        <s v="25 to 34 years"/>
        <s v="35 to 44 years"/>
        <s v="45 to 54 years"/>
        <s v="55 to 64 years"/>
        <s v="65 years and over"/>
        <m/>
      </sharedItems>
    </cacheField>
    <cacheField name="Gender" numFmtId="0">
      <sharedItems containsBlank="1" count="3">
        <s v="Men"/>
        <s v="Women"/>
        <m/>
      </sharedItems>
    </cacheField>
    <cacheField name="Gender*" numFmtId="0">
      <sharedItems containsBlank="1" count="3">
        <s v="Male"/>
        <s v="Female"/>
        <m/>
      </sharedItems>
    </cacheField>
    <cacheField name="Period" numFmtId="0">
      <sharedItems containsNonDate="0" containsDate="1" containsString="0" containsBlank="1" minDate="2005-01-01T00:00:00" maxDate="2005-02-02T00:00:00" count="3">
        <d v="2005-01-01T00:00:00"/>
        <d v="2005-02-01T00:00:00"/>
        <m/>
      </sharedItems>
    </cacheField>
    <cacheField name="Unemployed" numFmtId="43">
      <sharedItems containsString="0" containsBlank="1" containsNumber="1" containsInteger="1" minValue="33000" maxValue="20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x v="0"/>
    <n v="207000"/>
  </r>
  <r>
    <x v="1"/>
    <x v="0"/>
    <x v="0"/>
    <x v="0"/>
    <n v="201000"/>
  </r>
  <r>
    <x v="2"/>
    <x v="0"/>
    <x v="0"/>
    <x v="0"/>
    <n v="194000"/>
  </r>
  <r>
    <x v="3"/>
    <x v="0"/>
    <x v="0"/>
    <x v="0"/>
    <n v="180000"/>
  </r>
  <r>
    <x v="4"/>
    <x v="0"/>
    <x v="0"/>
    <x v="0"/>
    <n v="175000"/>
  </r>
  <r>
    <x v="5"/>
    <x v="0"/>
    <x v="0"/>
    <x v="0"/>
    <n v="157000"/>
  </r>
  <r>
    <x v="6"/>
    <x v="0"/>
    <x v="0"/>
    <x v="0"/>
    <n v="142000"/>
  </r>
  <r>
    <x v="0"/>
    <x v="1"/>
    <x v="1"/>
    <x v="0"/>
    <n v="101000"/>
  </r>
  <r>
    <x v="1"/>
    <x v="1"/>
    <x v="1"/>
    <x v="0"/>
    <n v="91000"/>
  </r>
  <r>
    <x v="2"/>
    <x v="1"/>
    <x v="1"/>
    <x v="0"/>
    <n v="90000"/>
  </r>
  <r>
    <x v="3"/>
    <x v="1"/>
    <x v="1"/>
    <x v="1"/>
    <n v="90000"/>
  </r>
  <r>
    <x v="4"/>
    <x v="1"/>
    <x v="1"/>
    <x v="0"/>
    <n v="82000"/>
  </r>
  <r>
    <x v="5"/>
    <x v="1"/>
    <x v="1"/>
    <x v="0"/>
    <n v="71000"/>
  </r>
  <r>
    <x v="6"/>
    <x v="1"/>
    <x v="1"/>
    <x v="0"/>
    <n v="38000"/>
  </r>
  <r>
    <x v="0"/>
    <x v="0"/>
    <x v="0"/>
    <x v="0"/>
    <n v="33000"/>
  </r>
  <r>
    <x v="7"/>
    <x v="2"/>
    <x v="2"/>
    <x v="2"/>
    <m/>
  </r>
  <r>
    <x v="7"/>
    <x v="2"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F18:I27" firstHeaderRow="1" firstDataRow="2" firstDataCol="1" rowPageCount="1" colPageCount="1"/>
  <pivotFields count="5"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3" hier="-1"/>
  </pageFields>
  <dataFields count="1">
    <dataField name="Sum of Unemployed" fld="4" baseField="0" baseItem="0"/>
  </dataFields>
  <chartFormats count="2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R34" sqref="R34"/>
    </sheetView>
  </sheetViews>
  <sheetFormatPr defaultRowHeight="13.8"/>
  <cols>
    <col min="4" max="4" width="12.19921875" customWidth="1"/>
    <col min="5" max="5" width="11.19921875" style="2" bestFit="1" customWidth="1"/>
    <col min="6" max="6" width="17.19921875" customWidth="1"/>
    <col min="7" max="7" width="14.796875" customWidth="1"/>
    <col min="8" max="8" width="7.8984375" customWidth="1"/>
    <col min="9" max="9" width="10.5" customWidth="1"/>
    <col min="10" max="10" width="11" customWidth="1"/>
    <col min="11" max="11" width="8.5" customWidth="1"/>
    <col min="12" max="12" width="11.59765625" bestFit="1" customWidth="1"/>
    <col min="13" max="13" width="11" bestFit="1" customWidth="1"/>
  </cols>
  <sheetData>
    <row r="1" spans="1:10">
      <c r="A1" t="s">
        <v>0</v>
      </c>
      <c r="B1" t="s">
        <v>1</v>
      </c>
      <c r="C1" t="s">
        <v>13</v>
      </c>
      <c r="D1" t="s">
        <v>2</v>
      </c>
      <c r="E1" s="2" t="s">
        <v>3</v>
      </c>
    </row>
    <row r="2" spans="1:10">
      <c r="A2" t="s">
        <v>4</v>
      </c>
      <c r="B2" t="s">
        <v>5</v>
      </c>
      <c r="C2" t="str">
        <f t="shared" ref="C2:C16" si="0">IF(B2="Men","Male",IF(B2= "Women", "Female", "Child"))</f>
        <v>Male</v>
      </c>
      <c r="D2" s="1">
        <v>38353</v>
      </c>
      <c r="E2" s="2">
        <v>207000</v>
      </c>
    </row>
    <row r="3" spans="1:10">
      <c r="A3" t="s">
        <v>6</v>
      </c>
      <c r="B3" t="s">
        <v>5</v>
      </c>
      <c r="C3" t="str">
        <f t="shared" si="0"/>
        <v>Male</v>
      </c>
      <c r="D3" s="1">
        <v>38353</v>
      </c>
      <c r="E3" s="2">
        <v>201000</v>
      </c>
    </row>
    <row r="4" spans="1:10">
      <c r="A4" t="s">
        <v>7</v>
      </c>
      <c r="B4" t="s">
        <v>5</v>
      </c>
      <c r="C4" t="str">
        <f t="shared" si="0"/>
        <v>Male</v>
      </c>
      <c r="D4" s="1">
        <v>38353</v>
      </c>
      <c r="E4" s="2">
        <v>194000</v>
      </c>
    </row>
    <row r="5" spans="1:10">
      <c r="A5" t="s">
        <v>8</v>
      </c>
      <c r="B5" t="s">
        <v>5</v>
      </c>
      <c r="C5" t="str">
        <f t="shared" si="0"/>
        <v>Male</v>
      </c>
      <c r="D5" s="1">
        <v>38353</v>
      </c>
      <c r="E5" s="2">
        <v>180000</v>
      </c>
      <c r="I5" s="3"/>
    </row>
    <row r="6" spans="1:10">
      <c r="A6" t="s">
        <v>9</v>
      </c>
      <c r="B6" t="s">
        <v>5</v>
      </c>
      <c r="C6" t="str">
        <f t="shared" si="0"/>
        <v>Male</v>
      </c>
      <c r="D6" s="1">
        <v>38353</v>
      </c>
      <c r="E6" s="2">
        <v>175000</v>
      </c>
      <c r="I6" s="3"/>
    </row>
    <row r="7" spans="1:10">
      <c r="A7" t="s">
        <v>10</v>
      </c>
      <c r="B7" t="s">
        <v>5</v>
      </c>
      <c r="C7" t="str">
        <f t="shared" si="0"/>
        <v>Male</v>
      </c>
      <c r="D7" s="1">
        <v>38353</v>
      </c>
      <c r="E7" s="2">
        <v>157000</v>
      </c>
      <c r="I7" s="3"/>
    </row>
    <row r="8" spans="1:10">
      <c r="A8" t="s">
        <v>11</v>
      </c>
      <c r="B8" t="s">
        <v>5</v>
      </c>
      <c r="C8" t="str">
        <f t="shared" si="0"/>
        <v>Male</v>
      </c>
      <c r="D8" s="1">
        <v>38353</v>
      </c>
      <c r="E8" s="2">
        <v>142000</v>
      </c>
    </row>
    <row r="9" spans="1:10">
      <c r="A9" t="s">
        <v>4</v>
      </c>
      <c r="B9" t="s">
        <v>12</v>
      </c>
      <c r="C9" t="str">
        <f t="shared" si="0"/>
        <v>Female</v>
      </c>
      <c r="D9" s="1">
        <v>38353</v>
      </c>
      <c r="E9" s="2">
        <v>101000</v>
      </c>
      <c r="I9" s="3"/>
      <c r="J9" s="3"/>
    </row>
    <row r="10" spans="1:10">
      <c r="A10" t="s">
        <v>6</v>
      </c>
      <c r="B10" t="s">
        <v>12</v>
      </c>
      <c r="C10" t="str">
        <f t="shared" si="0"/>
        <v>Female</v>
      </c>
      <c r="D10" s="1">
        <v>38353</v>
      </c>
      <c r="E10" s="2">
        <v>91000</v>
      </c>
    </row>
    <row r="11" spans="1:10">
      <c r="A11" t="s">
        <v>7</v>
      </c>
      <c r="B11" t="s">
        <v>12</v>
      </c>
      <c r="C11" t="str">
        <f t="shared" si="0"/>
        <v>Female</v>
      </c>
      <c r="D11" s="1">
        <v>38353</v>
      </c>
      <c r="E11" s="2">
        <v>90000</v>
      </c>
    </row>
    <row r="12" spans="1:10">
      <c r="A12" t="s">
        <v>8</v>
      </c>
      <c r="B12" t="s">
        <v>12</v>
      </c>
      <c r="C12" t="str">
        <f t="shared" si="0"/>
        <v>Female</v>
      </c>
      <c r="D12" s="1">
        <v>38384</v>
      </c>
      <c r="E12" s="2">
        <v>90000</v>
      </c>
    </row>
    <row r="13" spans="1:10">
      <c r="A13" t="s">
        <v>9</v>
      </c>
      <c r="B13" t="s">
        <v>12</v>
      </c>
      <c r="C13" t="str">
        <f t="shared" si="0"/>
        <v>Female</v>
      </c>
      <c r="D13" s="1">
        <v>38353</v>
      </c>
      <c r="E13" s="2">
        <v>82000</v>
      </c>
    </row>
    <row r="14" spans="1:10">
      <c r="A14" t="s">
        <v>10</v>
      </c>
      <c r="B14" t="s">
        <v>12</v>
      </c>
      <c r="C14" t="str">
        <f t="shared" si="0"/>
        <v>Female</v>
      </c>
      <c r="D14" s="1">
        <v>38353</v>
      </c>
      <c r="E14" s="2">
        <v>71000</v>
      </c>
      <c r="I14" s="2"/>
    </row>
    <row r="15" spans="1:10">
      <c r="A15" t="s">
        <v>11</v>
      </c>
      <c r="B15" t="s">
        <v>12</v>
      </c>
      <c r="C15" t="str">
        <f t="shared" si="0"/>
        <v>Female</v>
      </c>
      <c r="D15" s="1">
        <v>38353</v>
      </c>
      <c r="E15" s="2">
        <v>38000</v>
      </c>
    </row>
    <row r="16" spans="1:10">
      <c r="A16" t="s">
        <v>4</v>
      </c>
      <c r="B16" t="s">
        <v>5</v>
      </c>
      <c r="C16" t="str">
        <f t="shared" si="0"/>
        <v>Male</v>
      </c>
      <c r="D16" s="1">
        <v>38353</v>
      </c>
      <c r="E16" s="2">
        <v>33000</v>
      </c>
      <c r="F16" s="4" t="s">
        <v>2</v>
      </c>
      <c r="G16" t="s">
        <v>19</v>
      </c>
    </row>
    <row r="18" spans="6:9">
      <c r="F18" s="4" t="s">
        <v>20</v>
      </c>
      <c r="G18" s="4" t="s">
        <v>16</v>
      </c>
    </row>
    <row r="19" spans="6:9">
      <c r="F19" s="4" t="s">
        <v>14</v>
      </c>
      <c r="G19" t="s">
        <v>18</v>
      </c>
      <c r="H19" t="s">
        <v>17</v>
      </c>
      <c r="I19" t="s">
        <v>15</v>
      </c>
    </row>
    <row r="20" spans="6:9">
      <c r="F20" s="5" t="s">
        <v>4</v>
      </c>
      <c r="G20" s="6">
        <v>101000</v>
      </c>
      <c r="H20" s="6">
        <v>240000</v>
      </c>
      <c r="I20" s="6">
        <v>341000</v>
      </c>
    </row>
    <row r="21" spans="6:9">
      <c r="F21" s="5" t="s">
        <v>6</v>
      </c>
      <c r="G21" s="6">
        <v>91000</v>
      </c>
      <c r="H21" s="6">
        <v>201000</v>
      </c>
      <c r="I21" s="6">
        <v>292000</v>
      </c>
    </row>
    <row r="22" spans="6:9">
      <c r="F22" s="5" t="s">
        <v>7</v>
      </c>
      <c r="G22" s="6">
        <v>90000</v>
      </c>
      <c r="H22" s="6">
        <v>194000</v>
      </c>
      <c r="I22" s="6">
        <v>284000</v>
      </c>
    </row>
    <row r="23" spans="6:9">
      <c r="F23" s="5" t="s">
        <v>8</v>
      </c>
      <c r="G23" s="6">
        <v>90000</v>
      </c>
      <c r="H23" s="6">
        <v>180000</v>
      </c>
      <c r="I23" s="6">
        <v>270000</v>
      </c>
    </row>
    <row r="24" spans="6:9">
      <c r="F24" s="5" t="s">
        <v>9</v>
      </c>
      <c r="G24" s="6">
        <v>82000</v>
      </c>
      <c r="H24" s="6">
        <v>175000</v>
      </c>
      <c r="I24" s="6">
        <v>257000</v>
      </c>
    </row>
    <row r="25" spans="6:9">
      <c r="F25" s="5" t="s">
        <v>10</v>
      </c>
      <c r="G25" s="6">
        <v>71000</v>
      </c>
      <c r="H25" s="6">
        <v>157000</v>
      </c>
      <c r="I25" s="6">
        <v>228000</v>
      </c>
    </row>
    <row r="26" spans="6:9">
      <c r="F26" s="5" t="s">
        <v>11</v>
      </c>
      <c r="G26" s="6">
        <v>38000</v>
      </c>
      <c r="H26" s="6">
        <v>142000</v>
      </c>
      <c r="I26" s="6">
        <v>180000</v>
      </c>
    </row>
    <row r="27" spans="6:9">
      <c r="F27" s="5" t="s">
        <v>15</v>
      </c>
      <c r="G27" s="6">
        <v>563000</v>
      </c>
      <c r="H27" s="6">
        <v>1289000</v>
      </c>
      <c r="I27" s="6">
        <v>1852000</v>
      </c>
    </row>
  </sheetData>
  <autoFilter ref="A1:K1"/>
  <sortState ref="D2:G17">
    <sortCondition descending="1" ref="E2:E17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P6-Long-Term-Unemployment-Stati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created xsi:type="dcterms:W3CDTF">2026-08-01T07:59:01Z</dcterms:created>
  <dcterms:modified xsi:type="dcterms:W3CDTF">2026-09-12T11:08:52Z</dcterms:modified>
</cp:coreProperties>
</file>